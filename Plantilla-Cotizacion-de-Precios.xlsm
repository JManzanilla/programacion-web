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ors\Desktop\programacion web\"/>
    </mc:Choice>
  </mc:AlternateContent>
  <xr:revisionPtr revIDLastSave="0" documentId="8_{9B374A62-BBEE-4341-9FEE-1289A1D2DCDD}" xr6:coauthVersionLast="47" xr6:coauthVersionMax="47" xr10:uidLastSave="{00000000-0000-0000-0000-000000000000}"/>
  <bookViews>
    <workbookView showSheetTabs="0" xWindow="-120" yWindow="-120" windowWidth="20640" windowHeight="11160" activeTab="2" xr2:uid="{DF49A433-6F63-4A65-9632-E2317FB401BB}"/>
  </bookViews>
  <sheets>
    <sheet name="Productos" sheetId="1" r:id="rId1"/>
    <sheet name="Clientes" sheetId="10" r:id="rId2"/>
    <sheet name="pag1" sheetId="9" r:id="rId3"/>
    <sheet name="Menu" sheetId="12" r:id="rId4"/>
  </sheets>
  <definedNames>
    <definedName name="_xlnm.Print_Area" localSheetId="2">'pag1'!$A$1:$G$59</definedName>
    <definedName name="SEGMENTOS">OFFSET(Productos!$A$2,0,0,COUNTA(Productos!$A:$A),COUNTA(Productos!$1:$1))</definedName>
    <definedName name="valuevx">42.314159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9" l="1"/>
  <c r="A58" i="9" l="1"/>
  <c r="M2" i="9"/>
  <c r="D43" i="9" l="1"/>
  <c r="E43" i="9" s="1"/>
  <c r="F43" i="9" s="1"/>
  <c r="G43" i="9" s="1"/>
  <c r="D35" i="9"/>
  <c r="E35" i="9" s="1"/>
  <c r="F35" i="9" s="1"/>
  <c r="G35" i="9" s="1"/>
  <c r="D27" i="9"/>
  <c r="E27" i="9" s="1"/>
  <c r="F27" i="9" s="1"/>
  <c r="G27" i="9" s="1"/>
  <c r="D19" i="9"/>
  <c r="E19" i="9" s="1"/>
  <c r="F19" i="9" s="1"/>
  <c r="G19" i="9" s="1"/>
  <c r="D25" i="9"/>
  <c r="E25" i="9" s="1"/>
  <c r="F25" i="9" s="1"/>
  <c r="G25" i="9" s="1"/>
  <c r="D32" i="9"/>
  <c r="E32" i="9" s="1"/>
  <c r="F32" i="9" s="1"/>
  <c r="G32" i="9" s="1"/>
  <c r="D42" i="9"/>
  <c r="E42" i="9" s="1"/>
  <c r="F42" i="9" s="1"/>
  <c r="G42" i="9" s="1"/>
  <c r="D34" i="9"/>
  <c r="E34" i="9" s="1"/>
  <c r="F34" i="9" s="1"/>
  <c r="G34" i="9" s="1"/>
  <c r="D26" i="9"/>
  <c r="E26" i="9" s="1"/>
  <c r="F26" i="9" s="1"/>
  <c r="G26" i="9" s="1"/>
  <c r="D18" i="9"/>
  <c r="E18" i="9" s="1"/>
  <c r="F18" i="9" s="1"/>
  <c r="G18" i="9" s="1"/>
  <c r="D17" i="9"/>
  <c r="E17" i="9" s="1"/>
  <c r="F17" i="9" s="1"/>
  <c r="G17" i="9" s="1"/>
  <c r="D23" i="9"/>
  <c r="E23" i="9" s="1"/>
  <c r="F23" i="9" s="1"/>
  <c r="G23" i="9" s="1"/>
  <c r="D41" i="9"/>
  <c r="E41" i="9" s="1"/>
  <c r="F41" i="9" s="1"/>
  <c r="G41" i="9" s="1"/>
  <c r="D24" i="9"/>
  <c r="E24" i="9" s="1"/>
  <c r="F24" i="9" s="1"/>
  <c r="G24" i="9" s="1"/>
  <c r="D40" i="9"/>
  <c r="E40" i="9" s="1"/>
  <c r="F40" i="9" s="1"/>
  <c r="G40" i="9" s="1"/>
  <c r="D39" i="9"/>
  <c r="E39" i="9" s="1"/>
  <c r="F39" i="9" s="1"/>
  <c r="G39" i="9" s="1"/>
  <c r="D38" i="9"/>
  <c r="E38" i="9" s="1"/>
  <c r="F38" i="9" s="1"/>
  <c r="G38" i="9" s="1"/>
  <c r="D30" i="9"/>
  <c r="E30" i="9" s="1"/>
  <c r="F30" i="9" s="1"/>
  <c r="G30" i="9" s="1"/>
  <c r="D22" i="9"/>
  <c r="E22" i="9" s="1"/>
  <c r="F22" i="9" s="1"/>
  <c r="G22" i="9" s="1"/>
  <c r="D37" i="9"/>
  <c r="E37" i="9" s="1"/>
  <c r="F37" i="9" s="1"/>
  <c r="G37" i="9" s="1"/>
  <c r="D29" i="9"/>
  <c r="E29" i="9" s="1"/>
  <c r="F29" i="9" s="1"/>
  <c r="G29" i="9" s="1"/>
  <c r="D21" i="9"/>
  <c r="E21" i="9" s="1"/>
  <c r="F21" i="9" s="1"/>
  <c r="G21" i="9" s="1"/>
  <c r="D36" i="9"/>
  <c r="E36" i="9" s="1"/>
  <c r="F36" i="9" s="1"/>
  <c r="G36" i="9" s="1"/>
  <c r="D28" i="9"/>
  <c r="E28" i="9" s="1"/>
  <c r="F28" i="9" s="1"/>
  <c r="G28" i="9" s="1"/>
  <c r="D20" i="9"/>
  <c r="E20" i="9" s="1"/>
  <c r="F20" i="9" s="1"/>
  <c r="G20" i="9" s="1"/>
  <c r="D33" i="9"/>
  <c r="E33" i="9" s="1"/>
  <c r="F33" i="9" s="1"/>
  <c r="G33" i="9" s="1"/>
  <c r="D31" i="9"/>
  <c r="E31" i="9" s="1"/>
  <c r="F31" i="9" s="1"/>
  <c r="G31" i="9" s="1"/>
  <c r="A14" i="9"/>
  <c r="A13" i="9"/>
  <c r="A12" i="9"/>
  <c r="A11" i="9"/>
  <c r="A10" i="9"/>
  <c r="G46" i="9" l="1"/>
  <c r="G47" i="9" l="1"/>
  <c r="G48" i="9" s="1"/>
</calcChain>
</file>

<file path=xl/sharedStrings.xml><?xml version="1.0" encoding="utf-8"?>
<sst xmlns="http://schemas.openxmlformats.org/spreadsheetml/2006/main" count="75" uniqueCount="69">
  <si>
    <t>Teléfono</t>
  </si>
  <si>
    <t>CODIGO</t>
  </si>
  <si>
    <t>ARTICULO</t>
  </si>
  <si>
    <t>MENUDEO</t>
  </si>
  <si>
    <t>MAYOREO</t>
  </si>
  <si>
    <t>COTIZACIÓN</t>
  </si>
  <si>
    <t>FECHA</t>
  </si>
  <si>
    <t>COTIZACIÓN #</t>
  </si>
  <si>
    <t>CLIENTE ID</t>
  </si>
  <si>
    <t>VALIDO HASTA</t>
  </si>
  <si>
    <t>CLIENTE</t>
  </si>
  <si>
    <t>DESCRIPCIÓN</t>
  </si>
  <si>
    <t>CANT.</t>
  </si>
  <si>
    <t>TOTAL</t>
  </si>
  <si>
    <t>[42]</t>
  </si>
  <si>
    <t>Subtotal</t>
  </si>
  <si>
    <t>TÉRMINOS Y CONDICIONES</t>
  </si>
  <si>
    <t xml:space="preserve">Total Impuesto </t>
  </si>
  <si>
    <t>La aceptación del cliente (firmar a continuación):</t>
  </si>
  <si>
    <t>x ___________________________________________</t>
  </si>
  <si>
    <t>Si usted tiene alguna pregunta sobre esta cotización, por favor, póngase en contacto con nosotros</t>
  </si>
  <si>
    <t>Gracias por hacer negocios con nosotros!</t>
  </si>
  <si>
    <t>Id Cliente</t>
  </si>
  <si>
    <t>Nombre de Cliente</t>
  </si>
  <si>
    <t>Ciudad</t>
  </si>
  <si>
    <t>Dirección</t>
  </si>
  <si>
    <t>Email</t>
  </si>
  <si>
    <t>María Eugenia Perez</t>
  </si>
  <si>
    <t>Av. 90, Calle 3, Bloc 1</t>
  </si>
  <si>
    <t>San Salvador</t>
  </si>
  <si>
    <t>7125-3225</t>
  </si>
  <si>
    <t>Christofer Miguel Andubar</t>
  </si>
  <si>
    <t>mperez@gmail.com</t>
  </si>
  <si>
    <t>cmiguel@gmail.com</t>
  </si>
  <si>
    <t>LISTA DE PRECIOS:</t>
  </si>
  <si>
    <t>PRECIO</t>
  </si>
  <si>
    <t>SUB-TOTAL</t>
  </si>
  <si>
    <t>Nombre del cliente:</t>
  </si>
  <si>
    <t>1. El pago será debitado antes de la entrega de bienes y servicios</t>
  </si>
  <si>
    <t>2.Enviar la cotización firmada al email indicado anteriormente</t>
  </si>
  <si>
    <t>FORMATO DE COTIZACIÓN DE PRECIOS</t>
  </si>
  <si>
    <t>IMPUESTO</t>
  </si>
  <si>
    <t xml:space="preserve">Servicio de configuracion de equipos de red </t>
  </si>
  <si>
    <t>Servicio de instalacion de equipos de red ud.</t>
  </si>
  <si>
    <t>Servicio de instalacion de equipos de CCTV ud.</t>
  </si>
  <si>
    <t>Servicio de configuracion de equipos de CCTV</t>
  </si>
  <si>
    <t>Instalacion de office 365</t>
  </si>
  <si>
    <t xml:space="preserve">Instalacion de antivirus </t>
  </si>
  <si>
    <t xml:space="preserve">Isntalacion de software o hardware </t>
  </si>
  <si>
    <t>SIER</t>
  </si>
  <si>
    <t>SCER</t>
  </si>
  <si>
    <t>SIECCTV</t>
  </si>
  <si>
    <t>SCECCTV</t>
  </si>
  <si>
    <t>Servicio de mantenimiento preventivo PC escritorio</t>
  </si>
  <si>
    <t>SMPPC</t>
  </si>
  <si>
    <t>Servicio de mantenimiento preventivo Notebook</t>
  </si>
  <si>
    <t>SMPN</t>
  </si>
  <si>
    <t>IO365</t>
  </si>
  <si>
    <t>IA</t>
  </si>
  <si>
    <t>ISH</t>
  </si>
  <si>
    <t xml:space="preserve">Nicanor </t>
  </si>
  <si>
    <t>CDMX, Mexico</t>
  </si>
  <si>
    <t>55-9912-0958</t>
  </si>
  <si>
    <t>nicanor@bonividrio.com.mx</t>
  </si>
  <si>
    <t>Calle Sonora # 17</t>
  </si>
  <si>
    <t>Ciudad: Loma Bonita Oaxaca</t>
  </si>
  <si>
    <t>Teléfono: 281-116-0055</t>
  </si>
  <si>
    <t>E-mail: ing.jesus.manzanilla.gomez@gmail.com</t>
  </si>
  <si>
    <t xml:space="preserve">Servicio de configuracion de red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</si>
</sst>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_(&quot;$&quot;* #,##0.00_);_(&quot;$&quot;* \(#,##0.00\);_(&quot;$&quot;* &quot;-&quot;??_);_(@_)"/>
  </numFmts>
  <fonts count="21" x14ac:knownFonts="1"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20"/>
      <color rgb="FF00B050"/>
      <name val="Arial"/>
      <family val="2"/>
    </font>
    <font>
      <sz val="10"/>
      <name val="Century Gothic"/>
      <family val="2"/>
      <scheme val="minor"/>
    </font>
    <font>
      <sz val="10"/>
      <name val="Verdana"/>
      <family val="2"/>
    </font>
    <font>
      <u/>
      <sz val="10"/>
      <color indexed="12"/>
      <name val="Verdana"/>
      <family val="2"/>
    </font>
    <font>
      <b/>
      <sz val="11"/>
      <color indexed="9"/>
      <name val="Century Gothic"/>
      <family val="1"/>
      <scheme val="major"/>
    </font>
    <font>
      <b/>
      <sz val="10"/>
      <color indexed="9"/>
      <name val="Century Gothic"/>
      <family val="1"/>
      <scheme val="major"/>
    </font>
    <font>
      <sz val="11"/>
      <color indexed="9"/>
      <name val="Century Gothic"/>
      <family val="2"/>
      <scheme val="minor"/>
    </font>
    <font>
      <sz val="11"/>
      <name val="Century Gothic"/>
      <family val="2"/>
      <scheme val="minor"/>
    </font>
    <font>
      <i/>
      <sz val="10"/>
      <name val="Century Gothic"/>
      <family val="2"/>
      <scheme val="minor"/>
    </font>
    <font>
      <b/>
      <sz val="11"/>
      <name val="Century Gothic"/>
      <family val="2"/>
      <scheme val="minor"/>
    </font>
    <font>
      <b/>
      <sz val="10"/>
      <name val="Century Gothic"/>
      <family val="2"/>
      <scheme val="minor"/>
    </font>
    <font>
      <b/>
      <i/>
      <sz val="12"/>
      <name val="Century Gothic"/>
      <family val="2"/>
      <scheme val="minor"/>
    </font>
    <font>
      <sz val="10"/>
      <name val="Trebuchet MS"/>
      <family val="2"/>
    </font>
    <font>
      <sz val="10"/>
      <color theme="1"/>
      <name val="Century Gothic"/>
      <family val="2"/>
      <scheme val="minor"/>
    </font>
    <font>
      <b/>
      <sz val="20"/>
      <color theme="4" tint="-0.499984740745262"/>
      <name val="Century Gothic"/>
      <family val="2"/>
      <scheme val="major"/>
    </font>
    <font>
      <b/>
      <sz val="20"/>
      <color theme="4" tint="-0.499984740745262"/>
      <name val="Arial"/>
      <family val="2"/>
    </font>
    <font>
      <b/>
      <sz val="30"/>
      <color theme="1"/>
      <name val="Century Gothic"/>
      <family val="2"/>
      <scheme val="minor"/>
    </font>
    <font>
      <b/>
      <sz val="30"/>
      <color theme="0"/>
      <name val="Century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 tint="-0.499984740745262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0" tint="-0.499984740745262"/>
      </right>
      <top style="thin">
        <color theme="4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ck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5" fillId="0" borderId="0"/>
    <xf numFmtId="164" fontId="5" fillId="0" borderId="0" applyFont="0" applyFill="0" applyBorder="0" applyAlignment="0" applyProtection="0"/>
  </cellStyleXfs>
  <cellXfs count="68">
    <xf numFmtId="0" fontId="0" fillId="0" borderId="0" xfId="0"/>
    <xf numFmtId="0" fontId="1" fillId="2" borderId="0" xfId="0" applyFont="1" applyFill="1" applyAlignment="1">
      <alignment horizontal="center"/>
    </xf>
    <xf numFmtId="44" fontId="1" fillId="2" borderId="0" xfId="1" applyFont="1" applyFill="1" applyBorder="1" applyAlignment="1">
      <alignment horizontal="center"/>
    </xf>
    <xf numFmtId="44" fontId="0" fillId="0" borderId="0" xfId="1" applyFont="1" applyBorder="1"/>
    <xf numFmtId="0" fontId="0" fillId="0" borderId="0" xfId="0" applyAlignment="1">
      <alignment horizontal="center"/>
    </xf>
    <xf numFmtId="0" fontId="6" fillId="0" borderId="0" xfId="2" applyAlignment="1" applyProtection="1"/>
    <xf numFmtId="0" fontId="4" fillId="0" borderId="0" xfId="3" applyFont="1"/>
    <xf numFmtId="0" fontId="13" fillId="4" borderId="17" xfId="3" applyFont="1" applyFill="1" applyBorder="1" applyAlignment="1">
      <alignment horizontal="center"/>
    </xf>
    <xf numFmtId="0" fontId="0" fillId="0" borderId="4" xfId="0" applyBorder="1"/>
    <xf numFmtId="44" fontId="0" fillId="0" borderId="4" xfId="1" applyFont="1" applyBorder="1" applyProtection="1"/>
    <xf numFmtId="44" fontId="0" fillId="0" borderId="4" xfId="0" applyNumberFormat="1" applyBorder="1"/>
    <xf numFmtId="0" fontId="0" fillId="0" borderId="2" xfId="0" applyBorder="1"/>
    <xf numFmtId="0" fontId="4" fillId="0" borderId="0" xfId="3" applyFont="1" applyProtection="1">
      <protection locked="0"/>
    </xf>
    <xf numFmtId="14" fontId="4" fillId="0" borderId="1" xfId="3" applyNumberFormat="1" applyFont="1" applyBorder="1" applyAlignment="1" applyProtection="1">
      <alignment horizontal="center"/>
      <protection locked="0"/>
    </xf>
    <xf numFmtId="0" fontId="4" fillId="0" borderId="2" xfId="3" applyFont="1" applyBorder="1" applyAlignment="1" applyProtection="1">
      <alignment horizontal="center"/>
      <protection locked="0"/>
    </xf>
    <xf numFmtId="0" fontId="4" fillId="0" borderId="3" xfId="3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4" fillId="0" borderId="0" xfId="3" applyFont="1" applyAlignment="1" applyProtection="1">
      <alignment horizontal="center"/>
      <protection locked="0"/>
    </xf>
    <xf numFmtId="0" fontId="13" fillId="0" borderId="5" xfId="3" applyFont="1" applyBorder="1" applyProtection="1">
      <protection locked="0"/>
    </xf>
    <xf numFmtId="165" fontId="13" fillId="0" borderId="5" xfId="3" applyNumberFormat="1" applyFont="1" applyBorder="1" applyProtection="1">
      <protection locked="0"/>
    </xf>
    <xf numFmtId="0" fontId="13" fillId="0" borderId="0" xfId="3" applyFont="1" applyProtection="1">
      <protection locked="0"/>
    </xf>
    <xf numFmtId="165" fontId="13" fillId="0" borderId="0" xfId="3" applyNumberFormat="1" applyFont="1" applyProtection="1">
      <protection locked="0"/>
    </xf>
    <xf numFmtId="0" fontId="12" fillId="0" borderId="20" xfId="3" applyFont="1" applyBorder="1" applyProtection="1">
      <protection locked="0"/>
    </xf>
    <xf numFmtId="165" fontId="13" fillId="3" borderId="20" xfId="3" applyNumberFormat="1" applyFont="1" applyFill="1" applyBorder="1" applyProtection="1">
      <protection locked="0"/>
    </xf>
    <xf numFmtId="0" fontId="4" fillId="0" borderId="5" xfId="3" applyFont="1" applyBorder="1" applyProtection="1">
      <protection locked="0"/>
    </xf>
    <xf numFmtId="0" fontId="9" fillId="0" borderId="5" xfId="3" applyFont="1" applyBorder="1" applyProtection="1">
      <protection locked="0"/>
    </xf>
    <xf numFmtId="0" fontId="9" fillId="0" borderId="0" xfId="3" applyFont="1" applyProtection="1">
      <protection locked="0"/>
    </xf>
    <xf numFmtId="0" fontId="10" fillId="0" borderId="0" xfId="3" applyFont="1" applyProtection="1"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6" fillId="0" borderId="4" xfId="0" applyFont="1" applyBorder="1" applyProtection="1">
      <protection locked="0"/>
    </xf>
    <xf numFmtId="0" fontId="7" fillId="5" borderId="0" xfId="3" applyFont="1" applyFill="1" applyAlignment="1">
      <alignment horizontal="left"/>
    </xf>
    <xf numFmtId="0" fontId="19" fillId="0" borderId="0" xfId="0" applyFont="1" applyAlignment="1">
      <alignment vertical="top" wrapText="1"/>
    </xf>
    <xf numFmtId="0" fontId="8" fillId="5" borderId="0" xfId="3" applyFont="1" applyFill="1" applyAlignment="1" applyProtection="1">
      <alignment horizontal="center"/>
      <protection locked="0"/>
    </xf>
    <xf numFmtId="44" fontId="0" fillId="0" borderId="4" xfId="1" applyFont="1" applyBorder="1" applyProtection="1">
      <protection locked="0"/>
    </xf>
    <xf numFmtId="0" fontId="7" fillId="0" borderId="0" xfId="3" applyFont="1" applyAlignment="1">
      <alignment horizontal="left"/>
    </xf>
    <xf numFmtId="0" fontId="3" fillId="0" borderId="0" xfId="3" applyFont="1" applyAlignment="1" applyProtection="1">
      <alignment vertical="center"/>
      <protection locked="0"/>
    </xf>
    <xf numFmtId="0" fontId="4" fillId="0" borderId="0" xfId="3" applyFont="1" applyAlignment="1" applyProtection="1">
      <alignment horizontal="right" indent="1"/>
      <protection locked="0"/>
    </xf>
    <xf numFmtId="0" fontId="13" fillId="0" borderId="0" xfId="3" applyFont="1" applyAlignment="1" applyProtection="1">
      <alignment horizontal="center"/>
      <protection locked="0"/>
    </xf>
    <xf numFmtId="9" fontId="13" fillId="0" borderId="18" xfId="3" applyNumberFormat="1" applyFont="1" applyBorder="1" applyAlignment="1" applyProtection="1">
      <alignment horizontal="center"/>
      <protection locked="0"/>
    </xf>
    <xf numFmtId="0" fontId="13" fillId="0" borderId="19" xfId="3" applyFont="1" applyBorder="1" applyAlignment="1" applyProtection="1">
      <alignment horizontal="center"/>
      <protection locked="0"/>
    </xf>
    <xf numFmtId="0" fontId="18" fillId="0" borderId="0" xfId="3" applyFont="1" applyAlignment="1" applyProtection="1">
      <alignment horizontal="left" vertical="center" indent="8"/>
      <protection locked="0"/>
    </xf>
    <xf numFmtId="0" fontId="17" fillId="0" borderId="0" xfId="3" applyFont="1" applyAlignment="1" applyProtection="1">
      <alignment horizontal="right"/>
      <protection locked="0"/>
    </xf>
    <xf numFmtId="0" fontId="13" fillId="0" borderId="18" xfId="3" applyFont="1" applyBorder="1" applyAlignment="1" applyProtection="1">
      <alignment horizontal="center"/>
      <protection locked="0"/>
    </xf>
    <xf numFmtId="0" fontId="8" fillId="5" borderId="6" xfId="3" applyFont="1" applyFill="1" applyBorder="1" applyAlignment="1" applyProtection="1">
      <alignment horizontal="left"/>
      <protection locked="0"/>
    </xf>
    <xf numFmtId="0" fontId="8" fillId="5" borderId="7" xfId="3" applyFont="1" applyFill="1" applyBorder="1" applyAlignment="1" applyProtection="1">
      <alignment horizontal="left"/>
      <protection locked="0"/>
    </xf>
    <xf numFmtId="0" fontId="8" fillId="5" borderId="8" xfId="3" applyFont="1" applyFill="1" applyBorder="1" applyAlignment="1" applyProtection="1">
      <alignment horizontal="left"/>
      <protection locked="0"/>
    </xf>
    <xf numFmtId="0" fontId="4" fillId="0" borderId="9" xfId="3" applyFont="1" applyBorder="1" applyAlignment="1" applyProtection="1">
      <alignment horizontal="left" vertical="top"/>
      <protection locked="0"/>
    </xf>
    <xf numFmtId="0" fontId="4" fillId="0" borderId="10" xfId="3" applyFont="1" applyBorder="1" applyAlignment="1" applyProtection="1">
      <alignment horizontal="left" vertical="top"/>
      <protection locked="0"/>
    </xf>
    <xf numFmtId="0" fontId="4" fillId="0" borderId="11" xfId="3" applyFont="1" applyBorder="1" applyAlignment="1" applyProtection="1">
      <alignment horizontal="left" vertical="top"/>
      <protection locked="0"/>
    </xf>
    <xf numFmtId="0" fontId="4" fillId="0" borderId="12" xfId="3" applyFont="1" applyBorder="1" applyAlignment="1" applyProtection="1">
      <alignment horizontal="left" vertical="top"/>
      <protection locked="0"/>
    </xf>
    <xf numFmtId="0" fontId="4" fillId="0" borderId="0" xfId="3" applyFont="1" applyAlignment="1" applyProtection="1">
      <alignment horizontal="left" vertical="top"/>
      <protection locked="0"/>
    </xf>
    <xf numFmtId="0" fontId="4" fillId="0" borderId="13" xfId="3" applyFont="1" applyBorder="1" applyAlignment="1" applyProtection="1">
      <alignment horizontal="left" vertical="top"/>
      <protection locked="0"/>
    </xf>
    <xf numFmtId="0" fontId="11" fillId="0" borderId="12" xfId="3" applyFont="1" applyBorder="1" applyAlignment="1" applyProtection="1">
      <alignment horizontal="left" vertical="top"/>
      <protection locked="0"/>
    </xf>
    <xf numFmtId="0" fontId="11" fillId="0" borderId="0" xfId="3" applyFont="1" applyAlignment="1" applyProtection="1">
      <alignment horizontal="left" vertical="top"/>
      <protection locked="0"/>
    </xf>
    <xf numFmtId="0" fontId="11" fillId="0" borderId="13" xfId="3" applyFont="1" applyBorder="1" applyAlignment="1" applyProtection="1">
      <alignment horizontal="left" vertical="top"/>
      <protection locked="0"/>
    </xf>
    <xf numFmtId="0" fontId="4" fillId="0" borderId="0" xfId="3" applyFont="1" applyAlignment="1" applyProtection="1">
      <alignment horizontal="center"/>
      <protection locked="0"/>
    </xf>
    <xf numFmtId="0" fontId="4" fillId="0" borderId="0" xfId="3" applyFont="1" applyAlignment="1">
      <alignment horizontal="center"/>
    </xf>
    <xf numFmtId="0" fontId="14" fillId="0" borderId="0" xfId="3" applyFont="1" applyAlignment="1" applyProtection="1">
      <alignment horizontal="center"/>
      <protection locked="0"/>
    </xf>
    <xf numFmtId="0" fontId="13" fillId="0" borderId="12" xfId="3" applyFont="1" applyBorder="1" applyAlignment="1" applyProtection="1">
      <alignment horizontal="left" vertical="top"/>
      <protection locked="0"/>
    </xf>
    <xf numFmtId="0" fontId="13" fillId="0" borderId="0" xfId="3" applyFont="1" applyAlignment="1" applyProtection="1">
      <alignment horizontal="left" vertical="top"/>
      <protection locked="0"/>
    </xf>
    <xf numFmtId="0" fontId="13" fillId="0" borderId="13" xfId="3" applyFont="1" applyBorder="1" applyAlignment="1" applyProtection="1">
      <alignment horizontal="left" vertical="top"/>
      <protection locked="0"/>
    </xf>
    <xf numFmtId="0" fontId="4" fillId="0" borderId="0" xfId="3" applyFont="1" applyAlignment="1" applyProtection="1">
      <alignment horizontal="center" vertical="top"/>
      <protection locked="0"/>
    </xf>
    <xf numFmtId="0" fontId="13" fillId="0" borderId="0" xfId="3" applyFont="1" applyAlignment="1" applyProtection="1">
      <alignment horizontal="center" vertical="top"/>
      <protection locked="0"/>
    </xf>
    <xf numFmtId="0" fontId="4" fillId="0" borderId="14" xfId="3" applyFont="1" applyBorder="1" applyAlignment="1" applyProtection="1">
      <alignment horizontal="left" vertical="top"/>
      <protection locked="0"/>
    </xf>
    <xf numFmtId="0" fontId="4" fillId="0" borderId="15" xfId="3" applyFont="1" applyBorder="1" applyAlignment="1" applyProtection="1">
      <alignment horizontal="left" vertical="top"/>
      <protection locked="0"/>
    </xf>
    <xf numFmtId="0" fontId="4" fillId="0" borderId="16" xfId="3" applyFont="1" applyBorder="1" applyAlignment="1" applyProtection="1">
      <alignment horizontal="left" vertical="top"/>
      <protection locked="0"/>
    </xf>
    <xf numFmtId="0" fontId="20" fillId="2" borderId="0" xfId="0" applyFont="1" applyFill="1" applyAlignment="1">
      <alignment horizontal="center" vertical="center" wrapText="1"/>
    </xf>
  </cellXfs>
  <cellStyles count="5">
    <cellStyle name="Hipervínculo" xfId="2" builtinId="8"/>
    <cellStyle name="Millares 2" xfId="4" xr:uid="{C89A124E-617F-49D9-AB59-883034907B8E}"/>
    <cellStyle name="Moneda" xfId="1" builtinId="4"/>
    <cellStyle name="Normal" xfId="0" builtinId="0"/>
    <cellStyle name="Normal 2" xfId="3" xr:uid="{ACD1134A-7ED7-4393-970E-D628AE803CD0}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eg"/><Relationship Id="rId5" Type="http://schemas.openxmlformats.org/officeDocument/2006/relationships/image" Target="../media/image1.png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pag1'!A1"/><Relationship Id="rId2" Type="http://schemas.openxmlformats.org/officeDocument/2006/relationships/image" Target="../media/image5.jpg"/><Relationship Id="rId1" Type="http://schemas.openxmlformats.org/officeDocument/2006/relationships/hyperlink" Target="#Clientes!A1"/><Relationship Id="rId6" Type="http://schemas.openxmlformats.org/officeDocument/2006/relationships/image" Target="../media/image7.png"/><Relationship Id="rId5" Type="http://schemas.openxmlformats.org/officeDocument/2006/relationships/hyperlink" Target="#Productos!A1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409575</xdr:colOff>
      <xdr:row>1</xdr:row>
      <xdr:rowOff>57150</xdr:rowOff>
    </xdr:from>
    <xdr:to>
      <xdr:col>6</xdr:col>
      <xdr:colOff>159440</xdr:colOff>
      <xdr:row>4</xdr:row>
      <xdr:rowOff>156352</xdr:rowOff>
    </xdr:to>
    <xdr:pic>
      <xdr:nvPicPr>
        <xdr:cNvPr id="4" name="Imagen 3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577C09F-84E0-436F-AC88-4B45A2BED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63025" y="266700"/>
          <a:ext cx="588065" cy="7278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676275</xdr:colOff>
      <xdr:row>0</xdr:row>
      <xdr:rowOff>200025</xdr:rowOff>
    </xdr:from>
    <xdr:to>
      <xdr:col>7</xdr:col>
      <xdr:colOff>426140</xdr:colOff>
      <xdr:row>4</xdr:row>
      <xdr:rowOff>89677</xdr:rowOff>
    </xdr:to>
    <xdr:pic>
      <xdr:nvPicPr>
        <xdr:cNvPr id="3" name="Imagen 2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5953C638-9411-471B-87F2-81EDDEEC7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82175" y="200025"/>
          <a:ext cx="588065" cy="7278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31472</xdr:colOff>
      <xdr:row>3</xdr:row>
      <xdr:rowOff>75183</xdr:rowOff>
    </xdr:from>
    <xdr:to>
      <xdr:col>8</xdr:col>
      <xdr:colOff>155297</xdr:colOff>
      <xdr:row>5</xdr:row>
      <xdr:rowOff>43746</xdr:rowOff>
    </xdr:to>
    <xdr:pic macro="[0]!BuscarCliente">
      <xdr:nvPicPr>
        <xdr:cNvPr id="4" name="Imagen 3">
          <a:extLst>
            <a:ext uri="{FF2B5EF4-FFF2-40B4-BE49-F238E27FC236}">
              <a16:creationId xmlns:a16="http://schemas.microsoft.com/office/drawing/2014/main" id="{02E9C552-C038-48F6-9904-02AB9155F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9342" y="969705"/>
          <a:ext cx="314325" cy="324715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6</xdr:col>
      <xdr:colOff>314739</xdr:colOff>
      <xdr:row>12</xdr:row>
      <xdr:rowOff>8282</xdr:rowOff>
    </xdr:from>
    <xdr:to>
      <xdr:col>6</xdr:col>
      <xdr:colOff>763380</xdr:colOff>
      <xdr:row>14</xdr:row>
      <xdr:rowOff>74542</xdr:rowOff>
    </xdr:to>
    <xdr:pic macro="[0]!EliminarFila">
      <xdr:nvPicPr>
        <xdr:cNvPr id="6" name="Imagen 5">
          <a:extLst>
            <a:ext uri="{FF2B5EF4-FFF2-40B4-BE49-F238E27FC236}">
              <a16:creationId xmlns:a16="http://schemas.microsoft.com/office/drawing/2014/main" id="{ADD8D6FA-5E18-4D82-A91F-977A3B975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8696" y="2501347"/>
          <a:ext cx="448641" cy="414130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11</xdr:col>
      <xdr:colOff>173935</xdr:colOff>
      <xdr:row>6</xdr:row>
      <xdr:rowOff>94207</xdr:rowOff>
    </xdr:from>
    <xdr:to>
      <xdr:col>13</xdr:col>
      <xdr:colOff>215348</xdr:colOff>
      <xdr:row>10</xdr:row>
      <xdr:rowOff>46868</xdr:rowOff>
    </xdr:to>
    <xdr:pic macro="[0]!BorrarTodo">
      <xdr:nvPicPr>
        <xdr:cNvPr id="5" name="Imagen 4">
          <a:extLst>
            <a:ext uri="{FF2B5EF4-FFF2-40B4-BE49-F238E27FC236}">
              <a16:creationId xmlns:a16="http://schemas.microsoft.com/office/drawing/2014/main" id="{D32D2D64-65A4-4110-A7DF-B338B181A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8739" y="1527098"/>
          <a:ext cx="654326" cy="664966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9</xdr:col>
      <xdr:colOff>91108</xdr:colOff>
      <xdr:row>6</xdr:row>
      <xdr:rowOff>37882</xdr:rowOff>
    </xdr:from>
    <xdr:to>
      <xdr:col>10</xdr:col>
      <xdr:colOff>530087</xdr:colOff>
      <xdr:row>10</xdr:row>
      <xdr:rowOff>114938</xdr:rowOff>
    </xdr:to>
    <xdr:pic>
      <xdr:nvPicPr>
        <xdr:cNvPr id="11" name="Imagen 10">
          <a:hlinkClick xmlns:r="http://schemas.openxmlformats.org/officeDocument/2006/relationships" r:id="rId4" tooltip="Menu"/>
          <a:extLst>
            <a:ext uri="{FF2B5EF4-FFF2-40B4-BE49-F238E27FC236}">
              <a16:creationId xmlns:a16="http://schemas.microsoft.com/office/drawing/2014/main" id="{214876DC-519A-4313-A1BB-CB0DB5825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64217" y="1470773"/>
          <a:ext cx="637761" cy="789361"/>
        </a:xfrm>
        <a:prstGeom prst="rect">
          <a:avLst/>
        </a:prstGeom>
      </xdr:spPr>
    </xdr:pic>
    <xdr:clientData fLocksWithSheet="0"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266699</xdr:colOff>
      <xdr:row>4</xdr:row>
      <xdr:rowOff>57150</xdr:rowOff>
    </xdr:from>
    <xdr:to>
      <xdr:col>5</xdr:col>
      <xdr:colOff>219075</xdr:colOff>
      <xdr:row>13</xdr:row>
      <xdr:rowOff>129854</xdr:rowOff>
    </xdr:to>
    <xdr:pic>
      <xdr:nvPicPr>
        <xdr:cNvPr id="5" name="Imagen 4">
          <a:hlinkClick xmlns:r="http://schemas.openxmlformats.org/officeDocument/2006/relationships" r:id="rId1" tooltip="Clientes"/>
          <a:extLst>
            <a:ext uri="{FF2B5EF4-FFF2-40B4-BE49-F238E27FC236}">
              <a16:creationId xmlns:a16="http://schemas.microsoft.com/office/drawing/2014/main" id="{7D76D74C-A469-4A80-929F-B52C9475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299" y="1295400"/>
          <a:ext cx="1628776" cy="1958654"/>
        </a:xfrm>
        <a:prstGeom prst="rect">
          <a:avLst/>
        </a:prstGeom>
      </xdr:spPr>
    </xdr:pic>
    <xdr:clientData/>
  </xdr:twoCellAnchor>
  <xdr:twoCellAnchor editAs="oneCell">
    <xdr:from>
      <xdr:col>6</xdr:col>
      <xdr:colOff>666749</xdr:colOff>
      <xdr:row>4</xdr:row>
      <xdr:rowOff>133350</xdr:rowOff>
    </xdr:from>
    <xdr:to>
      <xdr:col>8</xdr:col>
      <xdr:colOff>534056</xdr:colOff>
      <xdr:row>13</xdr:row>
      <xdr:rowOff>38100</xdr:rowOff>
    </xdr:to>
    <xdr:pic>
      <xdr:nvPicPr>
        <xdr:cNvPr id="12" name="Imagen 11">
          <a:hlinkClick xmlns:r="http://schemas.openxmlformats.org/officeDocument/2006/relationships" r:id="rId3" tooltip="Cotizacion"/>
          <a:extLst>
            <a:ext uri="{FF2B5EF4-FFF2-40B4-BE49-F238E27FC236}">
              <a16:creationId xmlns:a16="http://schemas.microsoft.com/office/drawing/2014/main" id="{CBC83B85-0D00-43D7-B1A0-74B6A5105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95949" y="1371600"/>
          <a:ext cx="1543707" cy="1790700"/>
        </a:xfrm>
        <a:prstGeom prst="rect">
          <a:avLst/>
        </a:prstGeom>
      </xdr:spPr>
    </xdr:pic>
    <xdr:clientData/>
  </xdr:twoCellAnchor>
  <xdr:twoCellAnchor editAs="oneCell">
    <xdr:from>
      <xdr:col>0</xdr:col>
      <xdr:colOff>523875</xdr:colOff>
      <xdr:row>5</xdr:row>
      <xdr:rowOff>190500</xdr:rowOff>
    </xdr:from>
    <xdr:to>
      <xdr:col>2</xdr:col>
      <xdr:colOff>81355</xdr:colOff>
      <xdr:row>12</xdr:row>
      <xdr:rowOff>190500</xdr:rowOff>
    </xdr:to>
    <xdr:pic>
      <xdr:nvPicPr>
        <xdr:cNvPr id="18" name="Imagen 17">
          <a:hlinkClick xmlns:r="http://schemas.openxmlformats.org/officeDocument/2006/relationships" r:id="rId5" tooltip="Productos"/>
          <a:extLst>
            <a:ext uri="{FF2B5EF4-FFF2-40B4-BE49-F238E27FC236}">
              <a16:creationId xmlns:a16="http://schemas.microsoft.com/office/drawing/2014/main" id="{95F98D1D-BEB6-4C5E-BFC9-6A1DB3521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3875" y="1638300"/>
          <a:ext cx="1233880" cy="1466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nicanor@bonividrio.com.mx" TargetMode="External"/><Relationship Id="rId2" Type="http://schemas.openxmlformats.org/officeDocument/2006/relationships/hyperlink" Target="mailto:cmiguel@gmail.com" TargetMode="External"/><Relationship Id="rId1" Type="http://schemas.openxmlformats.org/officeDocument/2006/relationships/hyperlink" Target="mailto:mperez@gmail.co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E22CD-DE64-489E-8586-AF28E5410E26}">
  <sheetPr codeName="Hoja1"/>
  <dimension ref="A1:D10"/>
  <sheetViews>
    <sheetView zoomScaleNormal="100" workbookViewId="0">
      <selection activeCell="C15" sqref="C15"/>
    </sheetView>
  </sheetViews>
  <sheetFormatPr baseColWidth="10" defaultRowHeight="16.5" x14ac:dyDescent="0.3"/>
  <cols>
    <col min="1" max="1" width="14.125" style="4" bestFit="1" customWidth="1"/>
    <col min="2" max="2" width="59.25" customWidth="1"/>
    <col min="3" max="3" width="13.625" style="3" customWidth="1"/>
    <col min="4" max="4" width="14.25" style="3" customWidth="1"/>
  </cols>
  <sheetData>
    <row r="1" spans="1:4" x14ac:dyDescent="0.3">
      <c r="A1" s="1" t="s">
        <v>1</v>
      </c>
      <c r="B1" s="1" t="s">
        <v>2</v>
      </c>
      <c r="C1" s="2" t="s">
        <v>3</v>
      </c>
      <c r="D1" s="2" t="s">
        <v>4</v>
      </c>
    </row>
    <row r="2" spans="1:4" x14ac:dyDescent="0.3">
      <c r="A2" s="4" t="s">
        <v>49</v>
      </c>
      <c r="B2" t="s">
        <v>43</v>
      </c>
      <c r="C2" s="3">
        <v>350</v>
      </c>
      <c r="D2" s="3">
        <v>250</v>
      </c>
    </row>
    <row r="3" spans="1:4" x14ac:dyDescent="0.3">
      <c r="A3" s="4" t="s">
        <v>50</v>
      </c>
      <c r="B3" t="s">
        <v>42</v>
      </c>
      <c r="C3" s="3">
        <v>2500</v>
      </c>
      <c r="D3" s="3">
        <v>1500</v>
      </c>
    </row>
    <row r="4" spans="1:4" x14ac:dyDescent="0.3">
      <c r="A4" s="4" t="s">
        <v>51</v>
      </c>
      <c r="B4" t="s">
        <v>44</v>
      </c>
      <c r="C4" s="3">
        <v>350</v>
      </c>
      <c r="D4" s="3">
        <v>250</v>
      </c>
    </row>
    <row r="5" spans="1:4" x14ac:dyDescent="0.3">
      <c r="A5" s="4" t="s">
        <v>52</v>
      </c>
      <c r="B5" t="s">
        <v>45</v>
      </c>
      <c r="C5" s="3">
        <v>2000</v>
      </c>
      <c r="D5" s="3">
        <v>1500</v>
      </c>
    </row>
    <row r="6" spans="1:4" x14ac:dyDescent="0.3">
      <c r="A6" s="4" t="s">
        <v>56</v>
      </c>
      <c r="B6" t="s">
        <v>55</v>
      </c>
      <c r="C6" s="3">
        <v>800</v>
      </c>
      <c r="D6" s="3">
        <v>600</v>
      </c>
    </row>
    <row r="7" spans="1:4" x14ac:dyDescent="0.3">
      <c r="A7" s="4" t="s">
        <v>54</v>
      </c>
      <c r="B7" t="s">
        <v>53</v>
      </c>
      <c r="C7" s="3">
        <v>400</v>
      </c>
      <c r="D7" s="3">
        <v>300</v>
      </c>
    </row>
    <row r="8" spans="1:4" x14ac:dyDescent="0.3">
      <c r="A8" s="4" t="s">
        <v>57</v>
      </c>
      <c r="B8" t="s">
        <v>46</v>
      </c>
      <c r="C8" s="3">
        <v>250</v>
      </c>
      <c r="D8" s="3">
        <v>150</v>
      </c>
    </row>
    <row r="9" spans="1:4" x14ac:dyDescent="0.3">
      <c r="A9" s="4" t="s">
        <v>58</v>
      </c>
      <c r="B9" t="s">
        <v>47</v>
      </c>
      <c r="C9" s="3">
        <v>250</v>
      </c>
      <c r="D9" s="3">
        <v>150</v>
      </c>
    </row>
    <row r="10" spans="1:4" x14ac:dyDescent="0.3">
      <c r="A10" s="4" t="s">
        <v>59</v>
      </c>
      <c r="B10" t="s">
        <v>48</v>
      </c>
      <c r="C10" s="3">
        <v>250</v>
      </c>
      <c r="D10" s="3">
        <v>150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701F-3DAD-4328-8EDC-4FB5506F3E28}">
  <sheetPr codeName="Hoja5"/>
  <dimension ref="A1:F4"/>
  <sheetViews>
    <sheetView workbookViewId="0">
      <selection activeCell="F5" sqref="F5"/>
    </sheetView>
  </sheetViews>
  <sheetFormatPr baseColWidth="10" defaultRowHeight="16.5" x14ac:dyDescent="0.3"/>
  <cols>
    <col min="1" max="1" width="10.25" style="4" customWidth="1"/>
    <col min="2" max="2" width="30.625" customWidth="1"/>
    <col min="3" max="3" width="28.5" customWidth="1"/>
    <col min="4" max="4" width="15.125" style="4" customWidth="1"/>
    <col min="5" max="5" width="13.375" customWidth="1"/>
    <col min="6" max="6" width="21.375" customWidth="1"/>
  </cols>
  <sheetData>
    <row r="1" spans="1:6" x14ac:dyDescent="0.3">
      <c r="A1" s="1" t="s">
        <v>22</v>
      </c>
      <c r="B1" s="1" t="s">
        <v>23</v>
      </c>
      <c r="C1" s="1" t="s">
        <v>25</v>
      </c>
      <c r="D1" s="1" t="s">
        <v>24</v>
      </c>
      <c r="E1" s="1" t="s">
        <v>0</v>
      </c>
      <c r="F1" s="1" t="s">
        <v>26</v>
      </c>
    </row>
    <row r="2" spans="1:6" x14ac:dyDescent="0.3">
      <c r="A2" s="4">
        <v>100</v>
      </c>
      <c r="B2" t="s">
        <v>27</v>
      </c>
      <c r="C2" t="s">
        <v>28</v>
      </c>
      <c r="D2" s="4" t="s">
        <v>29</v>
      </c>
      <c r="E2" t="s">
        <v>30</v>
      </c>
      <c r="F2" s="5" t="s">
        <v>32</v>
      </c>
    </row>
    <row r="3" spans="1:6" x14ac:dyDescent="0.3">
      <c r="A3" s="4">
        <v>101</v>
      </c>
      <c r="B3" t="s">
        <v>31</v>
      </c>
      <c r="C3" t="s">
        <v>28</v>
      </c>
      <c r="D3" s="4" t="s">
        <v>29</v>
      </c>
      <c r="E3" t="s">
        <v>30</v>
      </c>
      <c r="F3" s="5" t="s">
        <v>33</v>
      </c>
    </row>
    <row r="4" spans="1:6" x14ac:dyDescent="0.3">
      <c r="A4" s="4">
        <v>102</v>
      </c>
      <c r="B4" t="s">
        <v>60</v>
      </c>
      <c r="D4" s="4" t="s">
        <v>61</v>
      </c>
      <c r="E4" t="s">
        <v>62</v>
      </c>
      <c r="F4" s="5" t="s">
        <v>63</v>
      </c>
    </row>
  </sheetData>
  <hyperlinks>
    <hyperlink ref="F2" r:id="rId1" xr:uid="{8DC26BAF-1A65-4605-9B76-BB3A5BDA9E67}"/>
    <hyperlink ref="F3" r:id="rId2" xr:uid="{0D42574D-D2B9-4FFF-99DC-E84F7DDAD83C}"/>
    <hyperlink ref="F4" r:id="rId3" xr:uid="{9CE175B3-3CC8-49CA-B588-399D3B6C90EC}"/>
  </hyperlinks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469C-08FC-4D5C-B368-2BC79AA53393}">
  <sheetPr codeName="Hoja2">
    <pageSetUpPr autoPageBreaks="0" fitToPage="1"/>
  </sheetPr>
  <dimension ref="A1:M59"/>
  <sheetViews>
    <sheetView showGridLines="0" tabSelected="1" zoomScale="85" zoomScaleNormal="85" zoomScaleSheetLayoutView="100" workbookViewId="0">
      <selection activeCell="B17" sqref="B17"/>
    </sheetView>
  </sheetViews>
  <sheetFormatPr baseColWidth="10" defaultColWidth="8" defaultRowHeight="13.5" x14ac:dyDescent="0.25"/>
  <cols>
    <col min="1" max="1" width="11" style="6" customWidth="1"/>
    <col min="2" max="2" width="40.375" style="6" customWidth="1"/>
    <col min="3" max="3" width="5.25" style="6" customWidth="1"/>
    <col min="4" max="4" width="10.5" style="6" customWidth="1"/>
    <col min="5" max="5" width="11.875" style="6" customWidth="1"/>
    <col min="6" max="6" width="12.625" style="6" customWidth="1"/>
    <col min="7" max="7" width="13" style="6" customWidth="1"/>
    <col min="8" max="8" width="2.5" style="6" customWidth="1"/>
    <col min="9" max="9" width="4.125" style="6" customWidth="1"/>
    <col min="10" max="10" width="2.625" style="6" customWidth="1"/>
    <col min="11" max="12" width="8" style="6"/>
    <col min="13" max="13" width="0" style="6" hidden="1" customWidth="1"/>
    <col min="14" max="16384" width="8" style="6"/>
  </cols>
  <sheetData>
    <row r="1" spans="1:13" ht="42" customHeight="1" thickBot="1" x14ac:dyDescent="0.4">
      <c r="A1" s="41"/>
      <c r="B1" s="41"/>
      <c r="C1" s="36"/>
      <c r="D1" s="12"/>
      <c r="E1" s="12"/>
      <c r="F1" s="42" t="s">
        <v>5</v>
      </c>
      <c r="G1" s="42"/>
      <c r="K1" s="38" t="s">
        <v>34</v>
      </c>
      <c r="L1" s="38"/>
    </row>
    <row r="2" spans="1:13" ht="14.25" thickBot="1" x14ac:dyDescent="0.3">
      <c r="A2" s="12" t="s">
        <v>64</v>
      </c>
      <c r="B2" s="12"/>
      <c r="C2" s="12"/>
      <c r="D2" s="12"/>
      <c r="E2" s="12"/>
      <c r="F2" s="12"/>
      <c r="G2" s="12"/>
      <c r="K2" s="43" t="s">
        <v>3</v>
      </c>
      <c r="L2" s="40"/>
      <c r="M2" s="7">
        <f>MATCH(K2,Productos!1:1,0)</f>
        <v>3</v>
      </c>
    </row>
    <row r="3" spans="1:13" ht="14.25" thickTop="1" x14ac:dyDescent="0.25">
      <c r="A3" s="12" t="s">
        <v>65</v>
      </c>
      <c r="B3" s="12"/>
      <c r="C3" s="12"/>
      <c r="D3" s="12"/>
      <c r="E3" s="12"/>
      <c r="F3" s="37" t="s">
        <v>6</v>
      </c>
      <c r="G3" s="13">
        <v>45063</v>
      </c>
    </row>
    <row r="4" spans="1:13" x14ac:dyDescent="0.25">
      <c r="A4" s="12" t="s">
        <v>66</v>
      </c>
      <c r="B4" s="12"/>
      <c r="C4" s="12"/>
      <c r="D4" s="12"/>
      <c r="E4" s="12"/>
      <c r="F4" s="37" t="s">
        <v>7</v>
      </c>
      <c r="G4" s="14">
        <v>126</v>
      </c>
      <c r="K4" s="38" t="s">
        <v>41</v>
      </c>
      <c r="L4" s="38"/>
    </row>
    <row r="5" spans="1:13" ht="14.25" thickBot="1" x14ac:dyDescent="0.3">
      <c r="A5" s="12" t="s">
        <v>67</v>
      </c>
      <c r="B5" s="12"/>
      <c r="C5" s="12"/>
      <c r="D5" s="12"/>
      <c r="E5" s="12"/>
      <c r="F5" s="37" t="s">
        <v>8</v>
      </c>
      <c r="G5" s="15">
        <v>102</v>
      </c>
      <c r="K5" s="39">
        <v>0.16</v>
      </c>
      <c r="L5" s="40"/>
    </row>
    <row r="6" spans="1:13" ht="14.25" thickTop="1" x14ac:dyDescent="0.25">
      <c r="A6" s="12"/>
      <c r="B6" s="12"/>
      <c r="C6" s="12"/>
      <c r="D6" s="12"/>
      <c r="E6" s="12"/>
      <c r="F6" s="37" t="s">
        <v>9</v>
      </c>
      <c r="G6" s="13">
        <v>45077</v>
      </c>
    </row>
    <row r="7" spans="1:13" x14ac:dyDescent="0.25">
      <c r="A7" s="12"/>
      <c r="B7" s="12"/>
      <c r="C7" s="12"/>
      <c r="D7" s="12"/>
      <c r="E7" s="12"/>
      <c r="F7" s="12"/>
      <c r="G7" s="12"/>
    </row>
    <row r="8" spans="1:13" x14ac:dyDescent="0.25">
      <c r="A8" s="12"/>
      <c r="B8" s="12"/>
      <c r="C8" s="12"/>
      <c r="D8" s="12"/>
      <c r="E8" s="12"/>
      <c r="F8" s="12"/>
      <c r="G8" s="12"/>
    </row>
    <row r="9" spans="1:13" ht="15" x14ac:dyDescent="0.25">
      <c r="A9" s="31" t="s">
        <v>10</v>
      </c>
      <c r="B9" s="31"/>
      <c r="C9" s="35"/>
      <c r="D9" s="35"/>
      <c r="E9" s="35"/>
      <c r="F9" s="35"/>
      <c r="G9" s="35"/>
    </row>
    <row r="10" spans="1:13" x14ac:dyDescent="0.25">
      <c r="A10" s="6" t="str">
        <f>CONCATENATE("Nombre: ",IFERROR(VLOOKUP($G$5,Clientes!A:F,2,0),""))</f>
        <v xml:space="preserve">Nombre: Nicanor </v>
      </c>
    </row>
    <row r="11" spans="1:13" x14ac:dyDescent="0.25">
      <c r="A11" s="6" t="str">
        <f>CONCATENATE("Email: ",IFERROR(VLOOKUP($G$5,Clientes!A:F,6,0),""))</f>
        <v>Email: nicanor@bonividrio.com.mx</v>
      </c>
    </row>
    <row r="12" spans="1:13" x14ac:dyDescent="0.25">
      <c r="A12" s="6" t="str">
        <f>CONCATENATE("Dirección: ",IFERROR(VLOOKUP($G$5,Clientes!A:F,3,0),""))</f>
        <v xml:space="preserve">Dirección: </v>
      </c>
    </row>
    <row r="13" spans="1:13" x14ac:dyDescent="0.25">
      <c r="A13" s="6" t="str">
        <f>CONCATENATE("Ciudad: ",IFERROR(VLOOKUP($G$5,Clientes!A:F,4,0),""))</f>
        <v>Ciudad: CDMX, Mexico</v>
      </c>
    </row>
    <row r="14" spans="1:13" x14ac:dyDescent="0.25">
      <c r="A14" s="6" t="str">
        <f>CONCATENATE("Teléfono: ",IFERROR(VLOOKUP($G$5,Clientes!A:F,5,0),""))</f>
        <v>Teléfono: 55-9912-0958</v>
      </c>
    </row>
    <row r="15" spans="1:13" ht="8.25" customHeight="1" x14ac:dyDescent="0.25"/>
    <row r="16" spans="1:13" ht="12.75" customHeight="1" x14ac:dyDescent="0.25">
      <c r="A16" s="33" t="s">
        <v>1</v>
      </c>
      <c r="B16" s="33" t="s">
        <v>11</v>
      </c>
      <c r="C16" s="33" t="s">
        <v>12</v>
      </c>
      <c r="D16" s="33" t="s">
        <v>35</v>
      </c>
      <c r="E16" s="33" t="s">
        <v>36</v>
      </c>
      <c r="F16" s="33" t="str">
        <f>K4</f>
        <v>IMPUESTO</v>
      </c>
      <c r="G16" s="33" t="s">
        <v>13</v>
      </c>
    </row>
    <row r="17" spans="1:7" customFormat="1" ht="16.5" x14ac:dyDescent="0.3">
      <c r="A17" s="29"/>
      <c r="B17" s="30" t="s">
        <v>68</v>
      </c>
      <c r="C17" s="18"/>
      <c r="D17" s="9" t="str">
        <f>IFERROR(INDEX(Productos!A:D,MATCH('pag1'!A17,Productos!A:A,0),'pag1'!$M$2),"")</f>
        <v/>
      </c>
      <c r="E17" s="10" t="str">
        <f>IFERROR(C17*D17,"")</f>
        <v/>
      </c>
      <c r="F17" s="34" t="str">
        <f>IFERROR(E17*$K$5,"")</f>
        <v/>
      </c>
      <c r="G17" s="10" t="str">
        <f>IFERROR(E17+F17,"")</f>
        <v/>
      </c>
    </row>
    <row r="18" spans="1:7" customFormat="1" ht="16.5" x14ac:dyDescent="0.3">
      <c r="A18" s="29"/>
      <c r="B18" s="30"/>
      <c r="C18" s="18"/>
      <c r="D18" s="9" t="str">
        <f>IFERROR(INDEX(Productos!A:D,MATCH('pag1'!A18,Productos!A:A,0),'pag1'!$M$2),"")</f>
        <v/>
      </c>
      <c r="E18" s="10" t="str">
        <f t="shared" ref="E18:E43" si="0">IFERROR(C18*D18,"")</f>
        <v/>
      </c>
      <c r="F18" s="34" t="str">
        <f t="shared" ref="F18:F43" si="1">IFERROR(E18*$K$5,"")</f>
        <v/>
      </c>
      <c r="G18" s="10" t="str">
        <f t="shared" ref="G18:G43" si="2">IFERROR(E18+F18,"")</f>
        <v/>
      </c>
    </row>
    <row r="19" spans="1:7" customFormat="1" ht="16.5" x14ac:dyDescent="0.3">
      <c r="A19" s="29"/>
      <c r="B19" s="30"/>
      <c r="C19" s="18"/>
      <c r="D19" s="9" t="str">
        <f>IFERROR(INDEX(Productos!A:D,MATCH('pag1'!A19,Productos!A:A,0),'pag1'!$M$2),"")</f>
        <v/>
      </c>
      <c r="E19" s="10" t="str">
        <f t="shared" si="0"/>
        <v/>
      </c>
      <c r="F19" s="34" t="str">
        <f t="shared" si="1"/>
        <v/>
      </c>
      <c r="G19" s="10" t="str">
        <f t="shared" si="2"/>
        <v/>
      </c>
    </row>
    <row r="20" spans="1:7" customFormat="1" ht="16.5" x14ac:dyDescent="0.3">
      <c r="A20" s="29"/>
      <c r="B20" s="30"/>
      <c r="C20" s="18"/>
      <c r="D20" s="9" t="str">
        <f>IFERROR(INDEX(Productos!A:D,MATCH('pag1'!A20,Productos!A:A,0),'pag1'!$M$2),"")</f>
        <v/>
      </c>
      <c r="E20" s="10" t="str">
        <f t="shared" si="0"/>
        <v/>
      </c>
      <c r="F20" s="34" t="str">
        <f t="shared" si="1"/>
        <v/>
      </c>
      <c r="G20" s="10" t="str">
        <f t="shared" si="2"/>
        <v/>
      </c>
    </row>
    <row r="21" spans="1:7" customFormat="1" ht="16.5" x14ac:dyDescent="0.3">
      <c r="A21" s="29"/>
      <c r="B21" s="30"/>
      <c r="C21" s="18"/>
      <c r="D21" s="9" t="str">
        <f>IFERROR(INDEX(Productos!A:D,MATCH('pag1'!A21,Productos!A:A,0),'pag1'!$M$2),"")</f>
        <v/>
      </c>
      <c r="E21" s="10" t="str">
        <f t="shared" si="0"/>
        <v/>
      </c>
      <c r="F21" s="34" t="str">
        <f t="shared" si="1"/>
        <v/>
      </c>
      <c r="G21" s="10" t="str">
        <f t="shared" si="2"/>
        <v/>
      </c>
    </row>
    <row r="22" spans="1:7" customFormat="1" ht="16.5" x14ac:dyDescent="0.3">
      <c r="A22" s="29"/>
      <c r="B22" s="30"/>
      <c r="C22" s="18"/>
      <c r="D22" s="9" t="str">
        <f>IFERROR(INDEX(Productos!A:D,MATCH('pag1'!A22,Productos!A:A,0),'pag1'!$M$2),"")</f>
        <v/>
      </c>
      <c r="E22" s="10" t="str">
        <f t="shared" si="0"/>
        <v/>
      </c>
      <c r="F22" s="34" t="str">
        <f t="shared" si="1"/>
        <v/>
      </c>
      <c r="G22" s="10" t="str">
        <f t="shared" si="2"/>
        <v/>
      </c>
    </row>
    <row r="23" spans="1:7" customFormat="1" ht="16.5" x14ac:dyDescent="0.3">
      <c r="A23" s="29"/>
      <c r="B23" s="30"/>
      <c r="C23" s="18"/>
      <c r="D23" s="9" t="str">
        <f>IFERROR(INDEX(Productos!A:D,MATCH('pag1'!A23,Productos!A:A,0),'pag1'!$M$2),"")</f>
        <v/>
      </c>
      <c r="E23" s="10" t="str">
        <f t="shared" si="0"/>
        <v/>
      </c>
      <c r="F23" s="34" t="str">
        <f t="shared" si="1"/>
        <v/>
      </c>
      <c r="G23" s="10" t="str">
        <f t="shared" si="2"/>
        <v/>
      </c>
    </row>
    <row r="24" spans="1:7" customFormat="1" ht="16.5" x14ac:dyDescent="0.3">
      <c r="A24" s="29"/>
      <c r="B24" s="30"/>
      <c r="C24" s="18"/>
      <c r="D24" s="9" t="str">
        <f>IFERROR(INDEX(Productos!A:D,MATCH('pag1'!A24,Productos!A:A,0),'pag1'!$M$2),"")</f>
        <v/>
      </c>
      <c r="E24" s="10" t="str">
        <f t="shared" si="0"/>
        <v/>
      </c>
      <c r="F24" s="34" t="str">
        <f t="shared" si="1"/>
        <v/>
      </c>
      <c r="G24" s="10" t="str">
        <f t="shared" si="2"/>
        <v/>
      </c>
    </row>
    <row r="25" spans="1:7" customFormat="1" ht="16.5" x14ac:dyDescent="0.3">
      <c r="A25" s="29"/>
      <c r="B25" s="30"/>
      <c r="C25" s="18"/>
      <c r="D25" s="9" t="str">
        <f>IFERROR(INDEX(Productos!A:D,MATCH('pag1'!A25,Productos!A:A,0),'pag1'!$M$2),"")</f>
        <v/>
      </c>
      <c r="E25" s="10" t="str">
        <f t="shared" si="0"/>
        <v/>
      </c>
      <c r="F25" s="34" t="str">
        <f t="shared" si="1"/>
        <v/>
      </c>
      <c r="G25" s="10" t="str">
        <f t="shared" si="2"/>
        <v/>
      </c>
    </row>
    <row r="26" spans="1:7" customFormat="1" ht="16.5" x14ac:dyDescent="0.3">
      <c r="A26" s="29"/>
      <c r="B26" s="30"/>
      <c r="C26" s="18"/>
      <c r="D26" s="9" t="str">
        <f>IFERROR(INDEX(Productos!A:D,MATCH('pag1'!A26,Productos!A:A,0),'pag1'!$M$2),"")</f>
        <v/>
      </c>
      <c r="E26" s="10" t="str">
        <f t="shared" si="0"/>
        <v/>
      </c>
      <c r="F26" s="34" t="str">
        <f t="shared" si="1"/>
        <v/>
      </c>
      <c r="G26" s="10" t="str">
        <f t="shared" si="2"/>
        <v/>
      </c>
    </row>
    <row r="27" spans="1:7" customFormat="1" ht="16.5" x14ac:dyDescent="0.3">
      <c r="A27" s="29"/>
      <c r="B27" s="30"/>
      <c r="C27" s="18"/>
      <c r="D27" s="9" t="str">
        <f>IFERROR(INDEX(Productos!A:D,MATCH('pag1'!A27,Productos!A:A,0),'pag1'!$M$2),"")</f>
        <v/>
      </c>
      <c r="E27" s="10" t="str">
        <f t="shared" si="0"/>
        <v/>
      </c>
      <c r="F27" s="34" t="str">
        <f t="shared" si="1"/>
        <v/>
      </c>
      <c r="G27" s="10" t="str">
        <f t="shared" si="2"/>
        <v/>
      </c>
    </row>
    <row r="28" spans="1:7" customFormat="1" ht="16.5" x14ac:dyDescent="0.3">
      <c r="A28" s="29"/>
      <c r="B28" s="30"/>
      <c r="C28" s="18"/>
      <c r="D28" s="9" t="str">
        <f>IFERROR(INDEX(Productos!A:D,MATCH('pag1'!A28,Productos!A:A,0),'pag1'!$M$2),"")</f>
        <v/>
      </c>
      <c r="E28" s="10" t="str">
        <f t="shared" si="0"/>
        <v/>
      </c>
      <c r="F28" s="34" t="str">
        <f t="shared" si="1"/>
        <v/>
      </c>
      <c r="G28" s="10" t="str">
        <f t="shared" si="2"/>
        <v/>
      </c>
    </row>
    <row r="29" spans="1:7" customFormat="1" ht="16.5" x14ac:dyDescent="0.3">
      <c r="A29" s="29"/>
      <c r="B29" s="30"/>
      <c r="C29" s="18"/>
      <c r="D29" s="9" t="str">
        <f>IFERROR(INDEX(Productos!A:D,MATCH('pag1'!A29,Productos!A:A,0),'pag1'!$M$2),"")</f>
        <v/>
      </c>
      <c r="E29" s="10" t="str">
        <f t="shared" si="0"/>
        <v/>
      </c>
      <c r="F29" s="34" t="str">
        <f t="shared" si="1"/>
        <v/>
      </c>
      <c r="G29" s="10" t="str">
        <f t="shared" si="2"/>
        <v/>
      </c>
    </row>
    <row r="30" spans="1:7" customFormat="1" ht="16.5" x14ac:dyDescent="0.3">
      <c r="A30" s="29"/>
      <c r="B30" s="30"/>
      <c r="C30" s="18"/>
      <c r="D30" s="9" t="str">
        <f>IFERROR(INDEX(Productos!A:D,MATCH('pag1'!A30,Productos!A:A,0),'pag1'!$M$2),"")</f>
        <v/>
      </c>
      <c r="E30" s="10" t="str">
        <f t="shared" si="0"/>
        <v/>
      </c>
      <c r="F30" s="34" t="str">
        <f t="shared" si="1"/>
        <v/>
      </c>
      <c r="G30" s="10" t="str">
        <f t="shared" si="2"/>
        <v/>
      </c>
    </row>
    <row r="31" spans="1:7" customFormat="1" ht="16.5" x14ac:dyDescent="0.3">
      <c r="A31" s="29"/>
      <c r="B31" s="30"/>
      <c r="C31" s="18"/>
      <c r="D31" s="9" t="str">
        <f>IFERROR(INDEX(Productos!A:D,MATCH('pag1'!A31,Productos!A:A,0),'pag1'!$M$2),"")</f>
        <v/>
      </c>
      <c r="E31" s="10" t="str">
        <f t="shared" si="0"/>
        <v/>
      </c>
      <c r="F31" s="34" t="str">
        <f t="shared" si="1"/>
        <v/>
      </c>
      <c r="G31" s="10" t="str">
        <f t="shared" si="2"/>
        <v/>
      </c>
    </row>
    <row r="32" spans="1:7" customFormat="1" ht="16.5" x14ac:dyDescent="0.3">
      <c r="A32" s="29"/>
      <c r="B32" s="30"/>
      <c r="C32" s="18"/>
      <c r="D32" s="9" t="str">
        <f>IFERROR(INDEX(Productos!A:D,MATCH('pag1'!A32,Productos!A:A,0),'pag1'!$M$2),"")</f>
        <v/>
      </c>
      <c r="E32" s="10" t="str">
        <f t="shared" si="0"/>
        <v/>
      </c>
      <c r="F32" s="34" t="str">
        <f t="shared" si="1"/>
        <v/>
      </c>
      <c r="G32" s="10" t="str">
        <f t="shared" si="2"/>
        <v/>
      </c>
    </row>
    <row r="33" spans="1:7" customFormat="1" ht="16.5" x14ac:dyDescent="0.3">
      <c r="A33" s="29"/>
      <c r="B33" s="30"/>
      <c r="C33" s="18"/>
      <c r="D33" s="9" t="str">
        <f>IFERROR(INDEX(Productos!A:D,MATCH('pag1'!A33,Productos!A:A,0),'pag1'!$M$2),"")</f>
        <v/>
      </c>
      <c r="E33" s="10" t="str">
        <f t="shared" si="0"/>
        <v/>
      </c>
      <c r="F33" s="34" t="str">
        <f t="shared" si="1"/>
        <v/>
      </c>
      <c r="G33" s="10" t="str">
        <f t="shared" si="2"/>
        <v/>
      </c>
    </row>
    <row r="34" spans="1:7" customFormat="1" ht="16.5" x14ac:dyDescent="0.3">
      <c r="A34" s="29"/>
      <c r="B34" s="30"/>
      <c r="C34" s="18"/>
      <c r="D34" s="9" t="str">
        <f>IFERROR(INDEX(Productos!A:D,MATCH('pag1'!A34,Productos!A:A,0),'pag1'!$M$2),"")</f>
        <v/>
      </c>
      <c r="E34" s="10" t="str">
        <f t="shared" si="0"/>
        <v/>
      </c>
      <c r="F34" s="34" t="str">
        <f t="shared" si="1"/>
        <v/>
      </c>
      <c r="G34" s="10" t="str">
        <f t="shared" si="2"/>
        <v/>
      </c>
    </row>
    <row r="35" spans="1:7" customFormat="1" ht="16.5" x14ac:dyDescent="0.3">
      <c r="A35" s="29"/>
      <c r="B35" s="30"/>
      <c r="C35" s="18"/>
      <c r="D35" s="9" t="str">
        <f>IFERROR(INDEX(Productos!A:D,MATCH('pag1'!A35,Productos!A:A,0),'pag1'!$M$2),"")</f>
        <v/>
      </c>
      <c r="E35" s="10" t="str">
        <f t="shared" si="0"/>
        <v/>
      </c>
      <c r="F35" s="34" t="str">
        <f t="shared" si="1"/>
        <v/>
      </c>
      <c r="G35" s="10" t="str">
        <f t="shared" si="2"/>
        <v/>
      </c>
    </row>
    <row r="36" spans="1:7" customFormat="1" ht="16.5" x14ac:dyDescent="0.3">
      <c r="A36" s="29"/>
      <c r="B36" s="30"/>
      <c r="C36" s="18"/>
      <c r="D36" s="9" t="str">
        <f>IFERROR(INDEX(Productos!A:D,MATCH('pag1'!A36,Productos!A:A,0),'pag1'!$M$2),"")</f>
        <v/>
      </c>
      <c r="E36" s="10" t="str">
        <f t="shared" si="0"/>
        <v/>
      </c>
      <c r="F36" s="34" t="str">
        <f t="shared" si="1"/>
        <v/>
      </c>
      <c r="G36" s="10" t="str">
        <f t="shared" si="2"/>
        <v/>
      </c>
    </row>
    <row r="37" spans="1:7" customFormat="1" ht="16.5" x14ac:dyDescent="0.3">
      <c r="A37" s="29"/>
      <c r="B37" s="30"/>
      <c r="C37" s="18"/>
      <c r="D37" s="9" t="str">
        <f>IFERROR(INDEX(Productos!A:D,MATCH('pag1'!A37,Productos!A:A,0),'pag1'!$M$2),"")</f>
        <v/>
      </c>
      <c r="E37" s="10" t="str">
        <f t="shared" si="0"/>
        <v/>
      </c>
      <c r="F37" s="34" t="str">
        <f t="shared" si="1"/>
        <v/>
      </c>
      <c r="G37" s="10" t="str">
        <f t="shared" si="2"/>
        <v/>
      </c>
    </row>
    <row r="38" spans="1:7" customFormat="1" ht="16.5" x14ac:dyDescent="0.3">
      <c r="A38" s="29"/>
      <c r="B38" s="30"/>
      <c r="C38" s="18"/>
      <c r="D38" s="9" t="str">
        <f>IFERROR(INDEX(Productos!A:D,MATCH('pag1'!A38,Productos!A:A,0),'pag1'!$M$2),"")</f>
        <v/>
      </c>
      <c r="E38" s="10" t="str">
        <f t="shared" si="0"/>
        <v/>
      </c>
      <c r="F38" s="34" t="str">
        <f t="shared" si="1"/>
        <v/>
      </c>
      <c r="G38" s="10" t="str">
        <f t="shared" si="2"/>
        <v/>
      </c>
    </row>
    <row r="39" spans="1:7" customFormat="1" ht="16.5" x14ac:dyDescent="0.3">
      <c r="A39" s="29"/>
      <c r="B39" s="30"/>
      <c r="C39" s="18"/>
      <c r="D39" s="9" t="str">
        <f>IFERROR(INDEX(Productos!A:D,MATCH('pag1'!A39,Productos!A:A,0),'pag1'!$M$2),"")</f>
        <v/>
      </c>
      <c r="E39" s="10" t="str">
        <f t="shared" si="0"/>
        <v/>
      </c>
      <c r="F39" s="34" t="str">
        <f t="shared" si="1"/>
        <v/>
      </c>
      <c r="G39" s="10" t="str">
        <f t="shared" si="2"/>
        <v/>
      </c>
    </row>
    <row r="40" spans="1:7" customFormat="1" ht="16.5" x14ac:dyDescent="0.3">
      <c r="A40" s="29"/>
      <c r="B40" s="30"/>
      <c r="C40" s="18"/>
      <c r="D40" s="9" t="str">
        <f>IFERROR(INDEX(Productos!A:D,MATCH('pag1'!A40,Productos!A:A,0),'pag1'!$M$2),"")</f>
        <v/>
      </c>
      <c r="E40" s="10" t="str">
        <f t="shared" si="0"/>
        <v/>
      </c>
      <c r="F40" s="34" t="str">
        <f t="shared" si="1"/>
        <v/>
      </c>
      <c r="G40" s="10" t="str">
        <f t="shared" si="2"/>
        <v/>
      </c>
    </row>
    <row r="41" spans="1:7" customFormat="1" ht="16.5" x14ac:dyDescent="0.3">
      <c r="A41" s="29"/>
      <c r="B41" s="30"/>
      <c r="C41" s="18"/>
      <c r="D41" s="9" t="str">
        <f>IFERROR(INDEX(Productos!A:D,MATCH('pag1'!A41,Productos!A:A,0),'pag1'!$M$2),"")</f>
        <v/>
      </c>
      <c r="E41" s="10" t="str">
        <f t="shared" si="0"/>
        <v/>
      </c>
      <c r="F41" s="34" t="str">
        <f t="shared" si="1"/>
        <v/>
      </c>
      <c r="G41" s="10" t="str">
        <f t="shared" si="2"/>
        <v/>
      </c>
    </row>
    <row r="42" spans="1:7" customFormat="1" ht="16.5" x14ac:dyDescent="0.3">
      <c r="A42" s="29"/>
      <c r="B42" s="30"/>
      <c r="C42" s="18"/>
      <c r="D42" s="9" t="str">
        <f>IFERROR(INDEX(Productos!A:D,MATCH('pag1'!A42,Productos!A:A,0),'pag1'!$M$2),"")</f>
        <v/>
      </c>
      <c r="E42" s="10" t="str">
        <f t="shared" si="0"/>
        <v/>
      </c>
      <c r="F42" s="34" t="str">
        <f t="shared" si="1"/>
        <v/>
      </c>
      <c r="G42" s="10" t="str">
        <f t="shared" si="2"/>
        <v/>
      </c>
    </row>
    <row r="43" spans="1:7" customFormat="1" ht="16.5" x14ac:dyDescent="0.3">
      <c r="A43" s="29"/>
      <c r="B43" s="30"/>
      <c r="C43" s="18"/>
      <c r="D43" s="9" t="str">
        <f>IFERROR(INDEX(Productos!A:D,MATCH('pag1'!A43,Productos!A:A,0),'pag1'!$M$2),"")</f>
        <v/>
      </c>
      <c r="E43" s="10" t="str">
        <f t="shared" si="0"/>
        <v/>
      </c>
      <c r="F43" s="34" t="str">
        <f t="shared" si="1"/>
        <v/>
      </c>
      <c r="G43" s="10" t="str">
        <f t="shared" si="2"/>
        <v/>
      </c>
    </row>
    <row r="44" spans="1:7" customFormat="1" ht="5.25" customHeight="1" x14ac:dyDescent="0.3">
      <c r="A44" s="29"/>
      <c r="B44" s="30"/>
      <c r="C44" s="18"/>
      <c r="D44" s="9"/>
      <c r="E44" s="10"/>
      <c r="F44" s="34"/>
      <c r="G44" s="8"/>
    </row>
    <row r="45" spans="1:7" customFormat="1" ht="2.25" customHeight="1" x14ac:dyDescent="0.3">
      <c r="A45" s="16"/>
      <c r="B45" s="17"/>
      <c r="C45" s="18"/>
      <c r="D45" s="11"/>
      <c r="E45" s="11"/>
      <c r="F45" s="11"/>
      <c r="G45" s="11"/>
    </row>
    <row r="46" spans="1:7" ht="16.5" x14ac:dyDescent="0.3">
      <c r="A46" s="25"/>
      <c r="B46" s="25"/>
      <c r="C46" s="25"/>
      <c r="D46" s="26" t="s">
        <v>14</v>
      </c>
      <c r="E46" s="26"/>
      <c r="F46" s="19" t="s">
        <v>15</v>
      </c>
      <c r="G46" s="20">
        <f>SUM(E17:E45)</f>
        <v>0</v>
      </c>
    </row>
    <row r="47" spans="1:7" ht="16.5" x14ac:dyDescent="0.3">
      <c r="A47" s="44" t="s">
        <v>16</v>
      </c>
      <c r="B47" s="45"/>
      <c r="C47" s="46"/>
      <c r="D47" s="27"/>
      <c r="E47" s="27"/>
      <c r="F47" s="21" t="s">
        <v>17</v>
      </c>
      <c r="G47" s="22">
        <f>G46*K5</f>
        <v>0</v>
      </c>
    </row>
    <row r="48" spans="1:7" ht="17.25" thickBot="1" x14ac:dyDescent="0.35">
      <c r="A48" s="47"/>
      <c r="B48" s="48"/>
      <c r="C48" s="49"/>
      <c r="D48" s="28"/>
      <c r="E48" s="28"/>
      <c r="F48" s="23" t="s">
        <v>13</v>
      </c>
      <c r="G48" s="24">
        <f>+G46+G47</f>
        <v>0</v>
      </c>
    </row>
    <row r="49" spans="1:7" ht="16.5" x14ac:dyDescent="0.3">
      <c r="A49" s="50" t="s">
        <v>38</v>
      </c>
      <c r="B49" s="51"/>
      <c r="C49" s="52"/>
      <c r="D49" s="28"/>
      <c r="E49" s="28"/>
      <c r="F49" s="12"/>
      <c r="G49" s="12"/>
    </row>
    <row r="50" spans="1:7" ht="17.25" customHeight="1" x14ac:dyDescent="0.3">
      <c r="A50" s="50" t="s">
        <v>39</v>
      </c>
      <c r="B50" s="51"/>
      <c r="C50" s="52"/>
      <c r="D50" s="28"/>
      <c r="E50" s="28"/>
      <c r="F50" s="12"/>
      <c r="G50" s="12"/>
    </row>
    <row r="51" spans="1:7" ht="16.5" x14ac:dyDescent="0.3">
      <c r="A51" s="53" t="s">
        <v>18</v>
      </c>
      <c r="B51" s="54"/>
      <c r="C51" s="55"/>
      <c r="D51" s="28"/>
      <c r="E51" s="28"/>
      <c r="F51" s="12"/>
      <c r="G51" s="12"/>
    </row>
    <row r="52" spans="1:7" x14ac:dyDescent="0.25">
      <c r="A52" s="50"/>
      <c r="B52" s="51"/>
      <c r="C52" s="52"/>
      <c r="D52" s="12"/>
      <c r="E52" s="12"/>
      <c r="F52" s="12"/>
      <c r="G52" s="12"/>
    </row>
    <row r="53" spans="1:7" x14ac:dyDescent="0.25">
      <c r="A53" s="59" t="s">
        <v>19</v>
      </c>
      <c r="B53" s="60"/>
      <c r="C53" s="61"/>
      <c r="D53" s="12"/>
      <c r="E53" s="12"/>
      <c r="F53" s="62"/>
      <c r="G53" s="62"/>
    </row>
    <row r="54" spans="1:7" x14ac:dyDescent="0.25">
      <c r="A54" s="50" t="s">
        <v>37</v>
      </c>
      <c r="B54" s="51"/>
      <c r="C54" s="52"/>
      <c r="D54" s="12"/>
      <c r="E54" s="12"/>
      <c r="F54" s="63"/>
      <c r="G54" s="63"/>
    </row>
    <row r="55" spans="1:7" x14ac:dyDescent="0.25">
      <c r="A55" s="64"/>
      <c r="B55" s="65"/>
      <c r="C55" s="66"/>
      <c r="D55" s="12"/>
      <c r="E55" s="12"/>
      <c r="F55" s="12"/>
      <c r="G55" s="12"/>
    </row>
    <row r="56" spans="1:7" x14ac:dyDescent="0.25">
      <c r="A56" s="12"/>
      <c r="B56" s="12"/>
      <c r="C56" s="12"/>
      <c r="D56" s="12"/>
      <c r="E56" s="12"/>
      <c r="F56" s="12"/>
      <c r="G56" s="12"/>
    </row>
    <row r="57" spans="1:7" x14ac:dyDescent="0.25">
      <c r="A57" s="56" t="s">
        <v>20</v>
      </c>
      <c r="B57" s="56"/>
      <c r="C57" s="56"/>
      <c r="D57" s="56"/>
      <c r="E57" s="56"/>
      <c r="F57" s="56"/>
      <c r="G57" s="56"/>
    </row>
    <row r="58" spans="1:7" x14ac:dyDescent="0.25">
      <c r="A58" s="57" t="str">
        <f>CONCATENATE(A1," | ",A5," | ",A6)</f>
        <v xml:space="preserve"> | E-mail: ing.jesus.manzanilla.gomez@gmail.com | </v>
      </c>
      <c r="B58" s="57"/>
      <c r="C58" s="57"/>
      <c r="D58" s="57"/>
      <c r="E58" s="57"/>
      <c r="F58" s="57"/>
      <c r="G58" s="57"/>
    </row>
    <row r="59" spans="1:7" ht="17.25" x14ac:dyDescent="0.3">
      <c r="A59" s="58" t="s">
        <v>21</v>
      </c>
      <c r="B59" s="58"/>
      <c r="C59" s="58"/>
      <c r="D59" s="58"/>
      <c r="E59" s="58"/>
      <c r="F59" s="58"/>
      <c r="G59" s="58"/>
    </row>
  </sheetData>
  <sheetProtection algorithmName="SHA-512" hashValue="adhl5cfURsudH8qGvCJuJ0ECAFDMEU+kn12PWpoBaklSm6kaEogfznST5r1eGC6QYEHfwZER1iRw5IJ1nzW3LA==" saltValue="/h1UvYBQXdM1YfuZDaN3uA==" spinCount="100000" sheet="1" formatCells="0" formatColumns="0" formatRows="0"/>
  <mergeCells count="20">
    <mergeCell ref="A57:G57"/>
    <mergeCell ref="A58:G58"/>
    <mergeCell ref="A59:G59"/>
    <mergeCell ref="A52:C52"/>
    <mergeCell ref="A53:C53"/>
    <mergeCell ref="F53:G53"/>
    <mergeCell ref="A54:C54"/>
    <mergeCell ref="F54:G54"/>
    <mergeCell ref="A55:C55"/>
    <mergeCell ref="A47:C47"/>
    <mergeCell ref="A48:C48"/>
    <mergeCell ref="A49:C49"/>
    <mergeCell ref="A50:C50"/>
    <mergeCell ref="A51:C51"/>
    <mergeCell ref="K4:L4"/>
    <mergeCell ref="K5:L5"/>
    <mergeCell ref="A1:B1"/>
    <mergeCell ref="F1:G1"/>
    <mergeCell ref="K2:L2"/>
    <mergeCell ref="K1:L1"/>
  </mergeCells>
  <conditionalFormatting sqref="A17:G45">
    <cfRule type="expression" dxfId="0" priority="1">
      <formula>MOD(ROW(),2)=1</formula>
    </cfRule>
  </conditionalFormatting>
  <printOptions horizontalCentered="1"/>
  <pageMargins left="0.39370078740157483" right="0.39370078740157483" top="0.62992125984251968" bottom="0.51181102362204722" header="0.51181102362204722" footer="0.23622047244094491"/>
  <pageSetup scale="87" fitToHeight="0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467ABE-3957-4AAA-B6A9-14FC1EF7E443}">
          <x14:formula1>
            <xm:f>Productos!$C$1:$D$1</xm:f>
          </x14:formula1>
          <xm:sqref>K2:L2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9896-084C-48C5-80DC-4DC9151B1120}">
  <sheetPr codeName="Hoja4"/>
  <dimension ref="A3:L17"/>
  <sheetViews>
    <sheetView showGridLines="0" workbookViewId="0"/>
  </sheetViews>
  <sheetFormatPr baseColWidth="10" defaultRowHeight="16.5" x14ac:dyDescent="0.3"/>
  <sheetData>
    <row r="3" spans="1:12" ht="48" customHeight="1" x14ac:dyDescent="0.3">
      <c r="A3" s="67" t="s">
        <v>40</v>
      </c>
      <c r="B3" s="67"/>
      <c r="C3" s="67"/>
      <c r="D3" s="67"/>
      <c r="E3" s="67"/>
      <c r="F3" s="67"/>
      <c r="G3" s="67"/>
      <c r="H3" s="67"/>
      <c r="I3" s="67"/>
      <c r="J3" s="32"/>
      <c r="K3" s="32"/>
      <c r="L3" s="32"/>
    </row>
    <row r="4" spans="1:12" ht="16.5" customHeight="1" x14ac:dyDescent="0.3">
      <c r="G4" s="32"/>
      <c r="H4" s="32"/>
      <c r="I4" s="32"/>
      <c r="J4" s="32"/>
      <c r="K4" s="32"/>
      <c r="L4" s="32"/>
    </row>
    <row r="5" spans="1:12" ht="16.5" customHeight="1" x14ac:dyDescent="0.3">
      <c r="G5" s="32"/>
      <c r="H5" s="32"/>
      <c r="I5" s="32"/>
      <c r="J5" s="32"/>
      <c r="K5" s="32"/>
      <c r="L5" s="32"/>
    </row>
    <row r="6" spans="1:12" ht="16.5" customHeight="1" x14ac:dyDescent="0.3">
      <c r="G6" s="32"/>
      <c r="H6" s="32"/>
      <c r="I6" s="32"/>
      <c r="J6" s="32"/>
      <c r="K6" s="32"/>
      <c r="L6" s="32"/>
    </row>
    <row r="7" spans="1:12" ht="16.5" customHeight="1" x14ac:dyDescent="0.3">
      <c r="G7" s="32"/>
      <c r="H7" s="32"/>
      <c r="I7" s="32"/>
      <c r="J7" s="32"/>
      <c r="K7" s="32"/>
      <c r="L7" s="32"/>
    </row>
    <row r="8" spans="1:12" ht="16.5" customHeight="1" x14ac:dyDescent="0.3">
      <c r="G8" s="32"/>
      <c r="H8" s="32"/>
      <c r="I8" s="32"/>
      <c r="J8" s="32"/>
      <c r="K8" s="32"/>
      <c r="L8" s="32"/>
    </row>
    <row r="9" spans="1:12" ht="16.5" customHeight="1" x14ac:dyDescent="0.3">
      <c r="G9" s="32"/>
      <c r="H9" s="32"/>
      <c r="I9" s="32"/>
      <c r="J9" s="32"/>
      <c r="K9" s="32"/>
      <c r="L9" s="32"/>
    </row>
    <row r="10" spans="1:12" ht="16.5" customHeight="1" x14ac:dyDescent="0.3">
      <c r="G10" s="32"/>
      <c r="H10" s="32"/>
      <c r="I10" s="32"/>
      <c r="J10" s="32"/>
      <c r="K10" s="32"/>
      <c r="L10" s="32"/>
    </row>
    <row r="11" spans="1:12" ht="16.5" customHeight="1" x14ac:dyDescent="0.3">
      <c r="G11" s="32"/>
      <c r="H11" s="32"/>
      <c r="I11" s="32"/>
      <c r="J11" s="32"/>
      <c r="K11" s="32"/>
      <c r="L11" s="32"/>
    </row>
    <row r="12" spans="1:12" ht="16.5" customHeight="1" x14ac:dyDescent="0.3">
      <c r="G12" s="32"/>
      <c r="H12" s="32"/>
      <c r="I12" s="32"/>
      <c r="J12" s="32"/>
      <c r="K12" s="32"/>
      <c r="L12" s="32"/>
    </row>
    <row r="13" spans="1:12" ht="16.5" customHeight="1" x14ac:dyDescent="0.3">
      <c r="G13" s="32"/>
      <c r="H13" s="32"/>
      <c r="I13" s="32"/>
      <c r="J13" s="32"/>
      <c r="K13" s="32"/>
      <c r="L13" s="32"/>
    </row>
    <row r="14" spans="1:12" ht="16.5" customHeight="1" x14ac:dyDescent="0.3">
      <c r="G14" s="32"/>
      <c r="H14" s="32"/>
      <c r="I14" s="32"/>
      <c r="J14" s="32"/>
      <c r="K14" s="32"/>
      <c r="L14" s="32"/>
    </row>
    <row r="15" spans="1:12" ht="16.5" customHeight="1" x14ac:dyDescent="0.3">
      <c r="G15" s="32"/>
      <c r="H15" s="32"/>
      <c r="I15" s="32"/>
      <c r="J15" s="32"/>
      <c r="K15" s="32"/>
      <c r="L15" s="32"/>
    </row>
    <row r="16" spans="1:12" ht="16.5" customHeight="1" x14ac:dyDescent="0.3">
      <c r="G16" s="32"/>
      <c r="H16" s="32"/>
      <c r="I16" s="32"/>
      <c r="J16" s="32"/>
      <c r="K16" s="32"/>
      <c r="L16" s="32"/>
    </row>
    <row r="17" spans="7:12" ht="16.5" customHeight="1" x14ac:dyDescent="0.3">
      <c r="G17" s="32"/>
      <c r="H17" s="32"/>
      <c r="I17" s="32"/>
      <c r="J17" s="32"/>
      <c r="K17" s="32"/>
      <c r="L17" s="32"/>
    </row>
  </sheetData>
  <mergeCells count="1">
    <mergeCell ref="A3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Productos</vt:lpstr>
      <vt:lpstr>Clientes</vt:lpstr>
      <vt:lpstr>pag1</vt:lpstr>
      <vt:lpstr>Menu</vt:lpstr>
      <vt:lpstr>'pag1'!Área_de_impresión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Jesus Manzanilla</cp:lastModifiedBy>
  <cp:lastPrinted>2020-07-12T22:39:51Z</cp:lastPrinted>
  <dcterms:created xsi:type="dcterms:W3CDTF">2020-02-29T04:28:56Z</dcterms:created>
  <dcterms:modified xsi:type="dcterms:W3CDTF">2023-05-17T15:03:33Z</dcterms:modified>
</cp:coreProperties>
</file>